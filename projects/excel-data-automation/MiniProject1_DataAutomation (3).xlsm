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D16D5651-B0CF-46FF-B04B-2F6EC3ECCCEA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Data_Pegawai" sheetId="2" r:id="rId1"/>
    <sheet name="Form_Entry" sheetId="3" r:id="rId2"/>
    <sheet name="After_Query" sheetId="5" r:id="rId3"/>
    <sheet name="Sheet1" sheetId="4" r:id="rId4"/>
  </sheets>
  <definedNames>
    <definedName name="ExternalData_1" localSheetId="2" hidden="1">After_Query!$A$1:$F$51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1_1d1417fd-1db5-4943-9ae8-13b9172edef7" name="Table1" connection="Query - 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3" l="1"/>
  <c r="D5" i="3"/>
  <c r="F4" i="3"/>
  <c r="F6" i="3"/>
  <c r="F5" i="3"/>
  <c r="F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E1" authorId="0" shapeId="0" xr:uid="{21B51062-09D6-41DE-A243-B0900B502FA6}">
      <text>
        <r>
          <rPr>
            <b/>
            <sz val="9"/>
            <color indexed="81"/>
            <rFont val="Tahoma"/>
            <family val="2"/>
          </rPr>
          <t>Durasi kerja dalam format {days:hours:minutes:seconds} sehingga jika 0.12:03:00 artinya 0 hari 12 jam 3 menit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7CF1D9-8AA9-4A1B-9B20-F31F63B3BB18}" keepAlive="1" name="ModelConnection_ExternalData_1" description="Data Model" type="5" refreshedVersion="8" minRefreshableVersion="5" saveData="1">
    <dbPr connection="Data Model Connection" command="Table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E7711AD-DD13-40B4-967B-6F7A87B44A8B}" name="Query - Table1" description="Connection to the 'Table1' query in the workbook." type="100" refreshedVersion="8" minRefreshableVersion="5">
    <extLst>
      <ext xmlns:x15="http://schemas.microsoft.com/office/spreadsheetml/2010/11/main" uri="{DE250136-89BD-433C-8126-D09CA5730AF9}">
        <x15:connection id="bb256720-8b21-4da3-ba63-bdcf969d3285"/>
      </ext>
    </extLst>
  </connection>
  <connection id="3" xr16:uid="{380EB381-060E-4AED-8C02-88D812DC959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<sst xmlns="http://schemas.openxmlformats.org/spreadsheetml/2006/main" count="156" uniqueCount="38">
  <si>
    <t>NIP</t>
  </si>
  <si>
    <t>Tanggal</t>
  </si>
  <si>
    <t>Jam Masuk</t>
  </si>
  <si>
    <t>EMP001</t>
  </si>
  <si>
    <t>EMP002</t>
  </si>
  <si>
    <t>EMP004</t>
  </si>
  <si>
    <t>EMP005</t>
  </si>
  <si>
    <t>EMP006</t>
  </si>
  <si>
    <t>EMP007</t>
  </si>
  <si>
    <t>EMP009</t>
  </si>
  <si>
    <t>EMP010</t>
  </si>
  <si>
    <t>EMP003</t>
  </si>
  <si>
    <t>EMP008</t>
  </si>
  <si>
    <t>Nama</t>
  </si>
  <si>
    <t>Jabatan</t>
  </si>
  <si>
    <t>Pegawai 1</t>
  </si>
  <si>
    <t>Pegawai 2</t>
  </si>
  <si>
    <t>Pegawai 3</t>
  </si>
  <si>
    <t>Pegawai 4</t>
  </si>
  <si>
    <t>Pegawai 5</t>
  </si>
  <si>
    <t>Pegawai 6</t>
  </si>
  <si>
    <t>Pegawai 7</t>
  </si>
  <si>
    <t>Pegawai 8</t>
  </si>
  <si>
    <t>Pegawai 9</t>
  </si>
  <si>
    <t>Pegawai 10</t>
  </si>
  <si>
    <t>Admin</t>
  </si>
  <si>
    <t>Staff</t>
  </si>
  <si>
    <t>Manager</t>
  </si>
  <si>
    <t>Form Presensi Pegawai</t>
  </si>
  <si>
    <t>NIP:</t>
  </si>
  <si>
    <t>Tanggal:</t>
  </si>
  <si>
    <t>Jam Masuk:</t>
  </si>
  <si>
    <t>Jam Keluar:</t>
  </si>
  <si>
    <t>Jam Keluar</t>
  </si>
  <si>
    <t>Durasi Kerja</t>
  </si>
  <si>
    <t>Durasi Kerja dalam Jam</t>
  </si>
  <si>
    <t>Nama:</t>
  </si>
  <si>
    <t>Jabatan: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</si>
</sst>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3809]hh:mm;@"/>
    <numFmt numFmtId="165" formatCode="[$-13809]dd/mm/yyyy;@"/>
    <numFmt numFmtId="166" formatCode="[$-F400]h:mm:ss\ AM/PM"/>
    <numFmt numFmtId="167" formatCode="d\.hh:mm:ss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1"/>
      <color theme="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73673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2" fillId="3" borderId="6" xfId="0" applyFont="1" applyFill="1" applyBorder="1" applyAlignment="1">
      <alignment horizontal="left"/>
    </xf>
    <xf numFmtId="0" fontId="0" fillId="3" borderId="5" xfId="0" applyFill="1" applyBorder="1"/>
    <xf numFmtId="0" fontId="0" fillId="3" borderId="6" xfId="0" applyFill="1" applyBorder="1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4" borderId="6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4" borderId="7" xfId="0" applyFill="1" applyBorder="1"/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8" fillId="0" borderId="0" xfId="0" applyFont="1" applyAlignment="1">
      <alignment horizontal="right"/>
    </xf>
    <xf numFmtId="165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22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Font="1"/>
    <xf numFmtId="0" fontId="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0" fillId="3" borderId="0" xfId="0" applyFill="1" applyBorder="1"/>
    <xf numFmtId="0" fontId="0" fillId="4" borderId="0" xfId="0" applyFill="1" applyBorder="1"/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right"/>
    </xf>
    <xf numFmtId="0" fontId="8" fillId="5" borderId="1" xfId="0" applyFont="1" applyFill="1" applyBorder="1" applyAlignment="1">
      <alignment horizontal="center" vertical="center"/>
    </xf>
    <xf numFmtId="0" fontId="11" fillId="3" borderId="0" xfId="0" applyFont="1" applyFill="1"/>
    <xf numFmtId="0" fontId="12" fillId="3" borderId="0" xfId="0" applyFont="1" applyFill="1" applyBorder="1"/>
  </cellXfs>
  <cellStyles count="2">
    <cellStyle name="Hyperlink" xfId="1" builtinId="8"/>
    <cellStyle name="Normal" xfId="0" builtinId="0"/>
  </cellStyles>
  <dxfs count="9">
    <dxf>
      <numFmt numFmtId="167" formatCode="d\.hh:mm:ss"/>
    </dxf>
    <dxf>
      <numFmt numFmtId="166" formatCode="[$-F400]h:mm:ss\ AM/PM"/>
    </dxf>
    <dxf>
      <numFmt numFmtId="166" formatCode="[$-F400]h:mm:ss\ AM/PM"/>
    </dxf>
    <dxf>
      <numFmt numFmtId="27" formatCode="dd/mm/yyyy\ hh:mm"/>
    </dxf>
    <dxf>
      <numFmt numFmtId="164" formatCode="[$-13809]hh:mm;@"/>
    </dxf>
    <dxf>
      <numFmt numFmtId="164" formatCode="[$-13809]hh:mm;@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73673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12</xdr:row>
          <xdr:rowOff>109538</xdr:rowOff>
        </xdr:from>
        <xdr:to>
          <xdr:col>2</xdr:col>
          <xdr:colOff>366713</xdr:colOff>
          <xdr:row>14</xdr:row>
          <xdr:rowOff>147638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ABC85FB5-F768-460C-97DE-021D28D9E0C2}" autoFormatId="16" applyNumberFormats="0" applyBorderFormats="0" applyFontFormats="0" applyPatternFormats="0" applyAlignmentFormats="0" applyWidthHeightFormats="0">
  <queryTableRefresh nextId="7">
    <queryTableFields count="6">
      <queryTableField id="1" name="NIP" tableColumnId="1"/>
      <queryTableField id="2" name="Tanggal" tableColumnId="2"/>
      <queryTableField id="3" name="Jam Masuk" tableColumnId="3"/>
      <queryTableField id="4" name="Jam Keluar" tableColumnId="4"/>
      <queryTableField id="5" name="Durasi Kerja" tableColumnId="5"/>
      <queryTableField id="6" name="Durasi Kerja dalam Jam" tableColumnId="6"/>
    </queryTableFields>
  </queryTableRefresh>
  <extLst>
    <ext xmlns:x15="http://schemas.microsoft.com/office/spreadsheetml/2010/11/main" uri="{883FBD77-0823-4a55-B5E3-86C4891E6966}">
      <x15:queryTable sourceDataName="Query - Table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EB3659-2C34-4A2B-A021-C49773ED1AB3}" name="Table1" displayName="Table1" ref="A19:D69" totalsRowShown="0" headerRowDxfId="8" headerRowBorderDxfId="7">
  <autoFilter ref="A19:D69" xr:uid="{C5EB3659-2C34-4A2B-A021-C49773ED1AB3}"/>
  <tableColumns count="4">
    <tableColumn id="1" xr3:uid="{9C7AE538-198B-4F82-B885-F02EC22AC65F}" name="NIP"/>
    <tableColumn id="2" xr3:uid="{B505C4F1-EF5A-49C5-BEC1-5C6E4265518D}" name="Tanggal" dataDxfId="6"/>
    <tableColumn id="3" xr3:uid="{2913BD53-4D4A-46EE-BFB1-D9AA4FC977D5}" name="Jam Masuk" dataDxfId="5"/>
    <tableColumn id="4" xr3:uid="{12931060-6CB7-47AA-A84E-977BEF9CB87E}" name="Jam Keluar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EB52D6-DF35-435A-A348-70538E81BCC1}" name="Table1_2" displayName="Table1_2" ref="A1:F51" tableType="queryTable" totalsRowShown="0">
  <autoFilter ref="A1:F51" xr:uid="{9BEB52D6-DF35-435A-A348-70538E81BCC1}"/>
  <tableColumns count="6">
    <tableColumn id="1" xr3:uid="{467B28AE-142E-4CE8-9595-3D798A77A9CF}" uniqueName="1" name="NIP" queryTableFieldId="1"/>
    <tableColumn id="2" xr3:uid="{9B703D23-9D56-4BAE-B630-0BB939F2B457}" uniqueName="2" name="Tanggal" queryTableFieldId="2" dataDxfId="3"/>
    <tableColumn id="3" xr3:uid="{AAC6BEB9-76B4-494B-A079-0B7114E0499E}" uniqueName="3" name="Jam Masuk" queryTableFieldId="3" dataDxfId="2"/>
    <tableColumn id="4" xr3:uid="{D9F1E3B3-C554-4C74-88EE-FF345A9DB798}" uniqueName="4" name="Jam Keluar" queryTableFieldId="4" dataDxfId="1"/>
    <tableColumn id="5" xr3:uid="{4793F617-6398-40D1-81AB-628D2946D656}" uniqueName="5" name="Durasi Kerja" queryTableFieldId="5" dataDxfId="0"/>
    <tableColumn id="6" xr3:uid="{C5376959-0615-4967-B342-0625A62957FA}" uniqueName="6" name="Durasi Kerja dalam Jam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workbookViewId="0">
      <selection activeCell="A2" sqref="A2"/>
    </sheetView>
  </sheetViews>
  <sheetFormatPr defaultRowHeight="14.25" x14ac:dyDescent="0.45"/>
  <cols>
    <col min="2" max="2" width="11.9296875" customWidth="1"/>
    <col min="3" max="3" width="10.19921875" customWidth="1"/>
  </cols>
  <sheetData>
    <row r="1" spans="1:3" x14ac:dyDescent="0.45">
      <c r="A1" s="1" t="s">
        <v>0</v>
      </c>
      <c r="B1" s="1" t="s">
        <v>13</v>
      </c>
      <c r="C1" s="1" t="s">
        <v>14</v>
      </c>
    </row>
    <row r="2" spans="1:3" x14ac:dyDescent="0.45">
      <c r="A2" t="s">
        <v>3</v>
      </c>
      <c r="B2" t="s">
        <v>15</v>
      </c>
      <c r="C2" t="s">
        <v>25</v>
      </c>
    </row>
    <row r="3" spans="1:3" x14ac:dyDescent="0.45">
      <c r="A3" t="s">
        <v>4</v>
      </c>
      <c r="B3" t="s">
        <v>16</v>
      </c>
      <c r="C3" t="s">
        <v>26</v>
      </c>
    </row>
    <row r="4" spans="1:3" x14ac:dyDescent="0.45">
      <c r="A4" t="s">
        <v>11</v>
      </c>
      <c r="B4" t="s">
        <v>17</v>
      </c>
      <c r="C4" t="s">
        <v>27</v>
      </c>
    </row>
    <row r="5" spans="1:3" x14ac:dyDescent="0.45">
      <c r="A5" t="s">
        <v>5</v>
      </c>
      <c r="B5" t="s">
        <v>18</v>
      </c>
      <c r="C5" t="s">
        <v>27</v>
      </c>
    </row>
    <row r="6" spans="1:3" x14ac:dyDescent="0.45">
      <c r="A6" t="s">
        <v>6</v>
      </c>
      <c r="B6" t="s">
        <v>19</v>
      </c>
      <c r="C6" t="s">
        <v>25</v>
      </c>
    </row>
    <row r="7" spans="1:3" x14ac:dyDescent="0.45">
      <c r="A7" t="s">
        <v>7</v>
      </c>
      <c r="B7" t="s">
        <v>20</v>
      </c>
      <c r="C7" t="s">
        <v>25</v>
      </c>
    </row>
    <row r="8" spans="1:3" x14ac:dyDescent="0.45">
      <c r="A8" t="s">
        <v>8</v>
      </c>
      <c r="B8" t="s">
        <v>21</v>
      </c>
      <c r="C8" t="s">
        <v>25</v>
      </c>
    </row>
    <row r="9" spans="1:3" x14ac:dyDescent="0.45">
      <c r="A9" t="s">
        <v>12</v>
      </c>
      <c r="B9" t="s">
        <v>22</v>
      </c>
      <c r="C9" t="s">
        <v>26</v>
      </c>
    </row>
    <row r="10" spans="1:3" x14ac:dyDescent="0.45">
      <c r="A10" t="s">
        <v>9</v>
      </c>
      <c r="B10" t="s">
        <v>23</v>
      </c>
      <c r="C10" t="s">
        <v>25</v>
      </c>
    </row>
    <row r="11" spans="1:3" x14ac:dyDescent="0.45">
      <c r="A11" t="s">
        <v>10</v>
      </c>
      <c r="B11" t="s">
        <v>24</v>
      </c>
      <c r="C1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70"/>
  <sheetViews>
    <sheetView tabSelected="1" zoomScale="99" zoomScaleNormal="99" workbookViewId="0">
      <selection activeCell="F9" sqref="F9"/>
    </sheetView>
  </sheetViews>
  <sheetFormatPr defaultRowHeight="14.25" x14ac:dyDescent="0.45"/>
  <cols>
    <col min="1" max="1" width="15.3984375" customWidth="1"/>
    <col min="2" max="2" width="21.59765625" customWidth="1"/>
    <col min="3" max="3" width="19.1328125" customWidth="1"/>
    <col min="4" max="4" width="18.3984375" customWidth="1"/>
    <col min="5" max="5" width="16" bestFit="1" customWidth="1"/>
    <col min="6" max="6" width="15.796875" customWidth="1"/>
  </cols>
  <sheetData>
    <row r="1" spans="1:12" x14ac:dyDescent="0.45">
      <c r="A1" s="2"/>
      <c r="B1" s="3"/>
      <c r="C1" s="29"/>
      <c r="D1" s="4"/>
      <c r="E1" s="26"/>
      <c r="F1" s="26"/>
      <c r="G1" s="26"/>
      <c r="H1" s="26"/>
      <c r="I1" s="26"/>
      <c r="J1" s="26"/>
      <c r="K1" s="26"/>
      <c r="L1" s="26"/>
    </row>
    <row r="2" spans="1:12" ht="33.4" x14ac:dyDescent="1">
      <c r="A2" s="5"/>
      <c r="B2" s="36" t="s">
        <v>28</v>
      </c>
      <c r="C2" s="37"/>
      <c r="D2" s="6"/>
      <c r="E2" s="26"/>
      <c r="F2" s="26"/>
      <c r="G2" s="26"/>
      <c r="H2" s="26"/>
      <c r="I2" s="26"/>
      <c r="J2" s="26"/>
      <c r="K2" s="26"/>
      <c r="L2" s="26"/>
    </row>
    <row r="3" spans="1:12" x14ac:dyDescent="0.45">
      <c r="A3" s="7"/>
      <c r="B3" s="8"/>
      <c r="C3" s="29"/>
      <c r="D3" s="6"/>
      <c r="E3" s="20" t="s">
        <v>0</v>
      </c>
      <c r="F3" s="20" t="str">
        <f>B5</f>
        <v>EMP001</v>
      </c>
      <c r="G3" s="26"/>
      <c r="H3" s="26"/>
      <c r="I3" s="26"/>
      <c r="J3" s="26"/>
      <c r="K3" s="26"/>
      <c r="L3" s="26"/>
    </row>
    <row r="4" spans="1:12" x14ac:dyDescent="0.45">
      <c r="A4" s="11"/>
      <c r="B4" s="12"/>
      <c r="C4" s="30"/>
      <c r="D4" s="13"/>
      <c r="E4" s="20" t="s">
        <v>1</v>
      </c>
      <c r="F4" s="21">
        <f>B7</f>
        <v>0</v>
      </c>
      <c r="G4" s="26"/>
      <c r="H4" s="26"/>
      <c r="I4" s="26"/>
      <c r="J4" s="26"/>
      <c r="K4" s="26"/>
      <c r="L4" s="26"/>
    </row>
    <row r="5" spans="1:12" x14ac:dyDescent="0.45">
      <c r="A5" s="14" t="s">
        <v>29</v>
      </c>
      <c r="B5" s="31" t="s">
        <v>3</v>
      </c>
      <c r="C5" s="34" t="s">
        <v>36</v>
      </c>
      <c r="D5" s="35" t="str">
        <f>VLOOKUP($B$5,Data_Pegawai!$A$2:$C$11,2)</f>
        <v>Pegawai 1</v>
      </c>
      <c r="E5" s="20" t="s">
        <v>2</v>
      </c>
      <c r="F5" s="22">
        <f>B9</f>
        <v>0</v>
      </c>
      <c r="G5" s="26"/>
      <c r="H5" s="26"/>
      <c r="I5" s="26"/>
      <c r="J5" s="26"/>
      <c r="K5" s="26"/>
      <c r="L5" s="26"/>
    </row>
    <row r="6" spans="1:12" x14ac:dyDescent="0.45">
      <c r="A6" s="14"/>
      <c r="B6" s="15"/>
      <c r="C6" s="34"/>
      <c r="D6" s="13"/>
      <c r="E6" s="20" t="s">
        <v>33</v>
      </c>
      <c r="F6" s="22">
        <f>B11</f>
        <v>0</v>
      </c>
      <c r="G6" s="26"/>
      <c r="H6" s="26"/>
      <c r="I6" s="26"/>
      <c r="J6" s="26"/>
      <c r="K6" s="26"/>
      <c r="L6" s="26"/>
    </row>
    <row r="7" spans="1:12" x14ac:dyDescent="0.45">
      <c r="A7" s="14" t="s">
        <v>30</v>
      </c>
      <c r="B7" s="32"/>
      <c r="C7" s="34" t="s">
        <v>37</v>
      </c>
      <c r="D7" s="35" t="str">
        <f>VLOOKUP($B$5,Data_Pegawai!$A$2:$C$11,3)</f>
        <v>Admin</v>
      </c>
      <c r="E7" s="26"/>
      <c r="F7" s="26"/>
      <c r="G7" s="26"/>
      <c r="H7" s="26"/>
      <c r="I7" s="26"/>
      <c r="J7" s="26"/>
      <c r="K7" s="26"/>
      <c r="L7" s="26"/>
    </row>
    <row r="8" spans="1:12" x14ac:dyDescent="0.45">
      <c r="A8" s="14"/>
      <c r="B8" s="15"/>
      <c r="C8" s="30"/>
      <c r="D8" s="13"/>
      <c r="E8" s="26"/>
      <c r="F8" s="26"/>
      <c r="G8" s="26"/>
      <c r="H8" s="26"/>
      <c r="I8" s="26"/>
      <c r="J8" s="26"/>
      <c r="K8" s="26"/>
      <c r="L8" s="26"/>
    </row>
    <row r="9" spans="1:12" ht="15.75" x14ac:dyDescent="0.45">
      <c r="A9" s="14" t="s">
        <v>31</v>
      </c>
      <c r="B9" s="33"/>
      <c r="C9" s="30"/>
      <c r="D9" s="13"/>
      <c r="E9" s="27"/>
      <c r="F9" s="27"/>
      <c r="G9" s="26"/>
      <c r="H9" s="26"/>
      <c r="I9" s="26"/>
      <c r="J9" s="26"/>
      <c r="K9" s="26"/>
      <c r="L9" s="26"/>
    </row>
    <row r="10" spans="1:12" x14ac:dyDescent="0.45">
      <c r="A10" s="14"/>
      <c r="B10" s="15"/>
      <c r="C10" s="30"/>
      <c r="D10" s="13"/>
      <c r="E10" s="27"/>
      <c r="F10" s="27"/>
      <c r="G10" s="26"/>
      <c r="H10" s="26"/>
      <c r="I10" s="26"/>
      <c r="J10" s="26"/>
      <c r="K10" s="26"/>
      <c r="L10" s="26"/>
    </row>
    <row r="11" spans="1:12" ht="15.75" x14ac:dyDescent="0.45">
      <c r="A11" s="14" t="s">
        <v>32</v>
      </c>
      <c r="B11" s="33"/>
      <c r="C11" s="30"/>
      <c r="D11" s="13"/>
      <c r="E11" s="27"/>
      <c r="F11" s="27"/>
      <c r="G11" s="26"/>
      <c r="H11" s="26"/>
      <c r="I11" s="26"/>
      <c r="J11" s="26"/>
      <c r="K11" s="26"/>
      <c r="L11" s="26"/>
    </row>
    <row r="12" spans="1:12" x14ac:dyDescent="0.45">
      <c r="A12" s="11"/>
      <c r="B12" s="12"/>
      <c r="C12" s="30"/>
      <c r="D12" s="13"/>
      <c r="E12" s="26"/>
      <c r="F12" s="26"/>
      <c r="G12" s="26"/>
      <c r="H12" s="26"/>
      <c r="I12" s="26"/>
      <c r="J12" s="26"/>
      <c r="K12" s="26"/>
      <c r="L12" s="26"/>
    </row>
    <row r="13" spans="1:12" x14ac:dyDescent="0.45">
      <c r="A13" s="11"/>
      <c r="B13" s="12"/>
      <c r="C13" s="30"/>
      <c r="D13" s="13"/>
      <c r="E13" s="26"/>
      <c r="F13" s="26"/>
      <c r="G13" s="26"/>
      <c r="H13" s="26"/>
      <c r="I13" s="26"/>
      <c r="J13" s="26"/>
      <c r="K13" s="26"/>
      <c r="L13" s="26"/>
    </row>
    <row r="14" spans="1:12" x14ac:dyDescent="0.45">
      <c r="A14" s="11"/>
      <c r="B14" s="12"/>
      <c r="C14" s="30"/>
      <c r="D14" s="13"/>
      <c r="E14" s="26"/>
      <c r="F14" s="26"/>
      <c r="G14" s="26"/>
      <c r="H14" s="26"/>
      <c r="I14" s="26"/>
      <c r="J14" s="26"/>
      <c r="K14" s="26"/>
      <c r="L14" s="26"/>
    </row>
    <row r="15" spans="1:12" x14ac:dyDescent="0.45">
      <c r="A15" s="11"/>
      <c r="B15" s="12"/>
      <c r="C15" s="30"/>
      <c r="D15" s="13"/>
      <c r="E15" s="26"/>
      <c r="F15" s="26"/>
      <c r="G15" s="26"/>
      <c r="H15" s="26"/>
      <c r="I15" s="26"/>
      <c r="J15" s="26"/>
      <c r="K15" s="26"/>
      <c r="L15" s="26"/>
    </row>
    <row r="16" spans="1:12" x14ac:dyDescent="0.45">
      <c r="A16" s="16"/>
      <c r="B16" s="17"/>
      <c r="C16" s="17"/>
      <c r="D16" s="18"/>
      <c r="E16" s="28"/>
      <c r="F16" s="28"/>
      <c r="G16" s="26"/>
      <c r="H16" s="26"/>
      <c r="I16" s="26"/>
      <c r="J16" s="26"/>
      <c r="K16" s="26"/>
      <c r="L16" s="26"/>
    </row>
    <row r="17" spans="1:12" x14ac:dyDescent="0.45">
      <c r="E17" s="26"/>
      <c r="F17" s="26"/>
      <c r="G17" s="26"/>
      <c r="H17" s="26"/>
      <c r="I17" s="26"/>
      <c r="J17" s="26"/>
      <c r="K17" s="26"/>
      <c r="L17" s="26"/>
    </row>
    <row r="19" spans="1:12" ht="15.75" x14ac:dyDescent="0.5">
      <c r="A19" s="19" t="s">
        <v>0</v>
      </c>
      <c r="B19" s="19" t="s">
        <v>1</v>
      </c>
      <c r="C19" s="19" t="s">
        <v>2</v>
      </c>
      <c r="D19" s="19" t="s">
        <v>33</v>
      </c>
    </row>
    <row r="20" spans="1:12" x14ac:dyDescent="0.45">
      <c r="A20" t="s">
        <v>10</v>
      </c>
      <c r="B20" s="9">
        <v>45787</v>
      </c>
      <c r="C20" s="10">
        <v>0.37638888888888888</v>
      </c>
      <c r="D20" s="10">
        <v>0.87847222222222221</v>
      </c>
    </row>
    <row r="21" spans="1:12" x14ac:dyDescent="0.45">
      <c r="A21" t="s">
        <v>9</v>
      </c>
      <c r="B21" s="9">
        <v>45786</v>
      </c>
      <c r="C21" s="10">
        <v>0.37638888888888888</v>
      </c>
      <c r="D21" s="10">
        <v>0.92291666666666672</v>
      </c>
    </row>
    <row r="22" spans="1:12" x14ac:dyDescent="0.45">
      <c r="A22" t="s">
        <v>12</v>
      </c>
      <c r="B22" s="9">
        <v>45785</v>
      </c>
      <c r="C22" s="10">
        <v>0.37847222222222221</v>
      </c>
      <c r="D22" s="10">
        <v>0.92361111111111116</v>
      </c>
    </row>
    <row r="23" spans="1:12" x14ac:dyDescent="0.45">
      <c r="A23" t="s">
        <v>8</v>
      </c>
      <c r="B23" s="9">
        <v>45784</v>
      </c>
      <c r="C23" s="10">
        <v>0.37569444444444444</v>
      </c>
      <c r="D23" s="10">
        <v>0.92291666666666672</v>
      </c>
    </row>
    <row r="24" spans="1:12" x14ac:dyDescent="0.45">
      <c r="A24" t="s">
        <v>7</v>
      </c>
      <c r="B24" s="9">
        <v>45783</v>
      </c>
      <c r="C24" s="10">
        <v>0.37916666666666665</v>
      </c>
      <c r="D24" s="10">
        <v>0.87708333333333333</v>
      </c>
    </row>
    <row r="25" spans="1:12" x14ac:dyDescent="0.45">
      <c r="A25" t="s">
        <v>6</v>
      </c>
      <c r="B25" s="9">
        <v>45782</v>
      </c>
      <c r="C25" s="10">
        <v>0.37847222222222221</v>
      </c>
      <c r="D25" s="10">
        <v>0.87847222222222221</v>
      </c>
    </row>
    <row r="26" spans="1:12" x14ac:dyDescent="0.45">
      <c r="A26" t="s">
        <v>5</v>
      </c>
      <c r="B26" s="9">
        <v>45781</v>
      </c>
      <c r="C26" s="10">
        <v>0.37777777777777777</v>
      </c>
      <c r="D26" s="10">
        <v>0.91874999999999996</v>
      </c>
    </row>
    <row r="27" spans="1:12" x14ac:dyDescent="0.45">
      <c r="A27" t="s">
        <v>11</v>
      </c>
      <c r="B27" s="9">
        <v>45780</v>
      </c>
      <c r="C27" s="10">
        <v>0.38194444444444442</v>
      </c>
      <c r="D27" s="10">
        <v>0.92361111111111116</v>
      </c>
    </row>
    <row r="28" spans="1:12" x14ac:dyDescent="0.45">
      <c r="A28" t="s">
        <v>4</v>
      </c>
      <c r="B28" s="9">
        <v>45779</v>
      </c>
      <c r="C28" s="10">
        <v>0.37777777777777777</v>
      </c>
      <c r="D28" s="10">
        <v>0.92013888888888884</v>
      </c>
    </row>
    <row r="29" spans="1:12" x14ac:dyDescent="0.45">
      <c r="A29" t="s">
        <v>3</v>
      </c>
      <c r="B29" s="9">
        <v>45778</v>
      </c>
      <c r="C29" s="10">
        <v>0.37847222222222221</v>
      </c>
      <c r="D29" s="10">
        <v>0.92013888888888884</v>
      </c>
    </row>
    <row r="30" spans="1:12" x14ac:dyDescent="0.45">
      <c r="A30" t="s">
        <v>10</v>
      </c>
      <c r="B30" s="9">
        <v>45757</v>
      </c>
      <c r="C30" s="10">
        <v>0.38194444444444442</v>
      </c>
      <c r="D30" s="10">
        <v>0.92291666666666672</v>
      </c>
    </row>
    <row r="31" spans="1:12" x14ac:dyDescent="0.45">
      <c r="A31" t="s">
        <v>9</v>
      </c>
      <c r="B31" s="9">
        <v>45756</v>
      </c>
      <c r="C31" s="10">
        <v>0.37777777777777777</v>
      </c>
      <c r="D31" s="10">
        <v>0.92083333333333328</v>
      </c>
    </row>
    <row r="32" spans="1:12" x14ac:dyDescent="0.45">
      <c r="A32" t="s">
        <v>12</v>
      </c>
      <c r="B32" s="9">
        <v>45755</v>
      </c>
      <c r="C32" s="10">
        <v>0.37638888888888888</v>
      </c>
      <c r="D32" s="10">
        <v>0.91805555555555551</v>
      </c>
    </row>
    <row r="33" spans="1:4" x14ac:dyDescent="0.45">
      <c r="A33" t="s">
        <v>8</v>
      </c>
      <c r="B33" s="9">
        <v>45754</v>
      </c>
      <c r="C33" s="10">
        <v>0.37847222222222221</v>
      </c>
      <c r="D33" s="10">
        <v>0.88680555555555551</v>
      </c>
    </row>
    <row r="34" spans="1:4" x14ac:dyDescent="0.45">
      <c r="A34" t="s">
        <v>7</v>
      </c>
      <c r="B34" s="9">
        <v>45753</v>
      </c>
      <c r="C34" s="10">
        <v>0.37638888888888888</v>
      </c>
      <c r="D34" s="10">
        <v>0.91805555555555551</v>
      </c>
    </row>
    <row r="35" spans="1:4" x14ac:dyDescent="0.45">
      <c r="A35" t="s">
        <v>6</v>
      </c>
      <c r="B35" s="9">
        <v>45752</v>
      </c>
      <c r="C35" s="10">
        <v>0.37777777777777777</v>
      </c>
      <c r="D35" s="10">
        <v>0.92013888888888884</v>
      </c>
    </row>
    <row r="36" spans="1:4" x14ac:dyDescent="0.45">
      <c r="A36" t="s">
        <v>5</v>
      </c>
      <c r="B36" s="9">
        <v>45751</v>
      </c>
      <c r="C36" s="10">
        <v>0.37708333333333333</v>
      </c>
      <c r="D36" s="10">
        <v>0.92291666666666672</v>
      </c>
    </row>
    <row r="37" spans="1:4" x14ac:dyDescent="0.45">
      <c r="A37" t="s">
        <v>11</v>
      </c>
      <c r="B37" s="9">
        <v>45750</v>
      </c>
      <c r="C37" s="10">
        <v>0.37847222222222221</v>
      </c>
      <c r="D37" s="10">
        <v>0.9194444444444444</v>
      </c>
    </row>
    <row r="38" spans="1:4" x14ac:dyDescent="0.45">
      <c r="A38" t="s">
        <v>4</v>
      </c>
      <c r="B38" s="9">
        <v>45749</v>
      </c>
      <c r="C38" s="10">
        <v>0.37638888888888888</v>
      </c>
      <c r="D38" s="10">
        <v>0.91805555555555551</v>
      </c>
    </row>
    <row r="39" spans="1:4" x14ac:dyDescent="0.45">
      <c r="A39" t="s">
        <v>3</v>
      </c>
      <c r="B39" s="9">
        <v>45748</v>
      </c>
      <c r="C39" s="10">
        <v>0.37638888888888888</v>
      </c>
      <c r="D39" s="10">
        <v>0.91805555555555551</v>
      </c>
    </row>
    <row r="40" spans="1:4" x14ac:dyDescent="0.45">
      <c r="A40" t="s">
        <v>10</v>
      </c>
      <c r="B40" s="9">
        <v>45726</v>
      </c>
      <c r="C40" s="10">
        <v>0.38124999999999998</v>
      </c>
      <c r="D40" s="10">
        <v>0.91805555555555551</v>
      </c>
    </row>
    <row r="41" spans="1:4" x14ac:dyDescent="0.45">
      <c r="A41" t="s">
        <v>9</v>
      </c>
      <c r="B41" s="9">
        <v>45725</v>
      </c>
      <c r="C41" s="10">
        <v>0.37777777777777777</v>
      </c>
      <c r="D41" s="10">
        <v>0.91874999999999996</v>
      </c>
    </row>
    <row r="42" spans="1:4" x14ac:dyDescent="0.45">
      <c r="A42" t="s">
        <v>12</v>
      </c>
      <c r="B42" s="9">
        <v>45724</v>
      </c>
      <c r="C42" s="10">
        <v>0.38333333333333336</v>
      </c>
      <c r="D42" s="10">
        <v>0.87986111111111109</v>
      </c>
    </row>
    <row r="43" spans="1:4" x14ac:dyDescent="0.45">
      <c r="A43" t="s">
        <v>8</v>
      </c>
      <c r="B43" s="9">
        <v>45723</v>
      </c>
      <c r="C43" s="10">
        <v>0.37777777777777777</v>
      </c>
      <c r="D43" s="10">
        <v>0.87638888888888888</v>
      </c>
    </row>
    <row r="44" spans="1:4" x14ac:dyDescent="0.45">
      <c r="A44" t="s">
        <v>7</v>
      </c>
      <c r="B44" s="9">
        <v>45722</v>
      </c>
      <c r="C44" s="10">
        <v>0.38958333333333334</v>
      </c>
      <c r="D44" s="10">
        <v>0.88055555555555554</v>
      </c>
    </row>
    <row r="45" spans="1:4" x14ac:dyDescent="0.45">
      <c r="A45" t="s">
        <v>6</v>
      </c>
      <c r="B45" s="9">
        <v>45721</v>
      </c>
      <c r="C45" s="10">
        <v>0.39027777777777778</v>
      </c>
      <c r="D45" s="10">
        <v>0.87569444444444444</v>
      </c>
    </row>
    <row r="46" spans="1:4" x14ac:dyDescent="0.45">
      <c r="A46" t="s">
        <v>5</v>
      </c>
      <c r="B46" s="9">
        <v>45720</v>
      </c>
      <c r="C46" s="10">
        <v>0.38333333333333336</v>
      </c>
      <c r="D46" s="10">
        <v>0.91805555555555551</v>
      </c>
    </row>
    <row r="47" spans="1:4" x14ac:dyDescent="0.45">
      <c r="A47" t="s">
        <v>11</v>
      </c>
      <c r="B47" s="9">
        <v>45719</v>
      </c>
      <c r="C47" s="10">
        <v>0.38541666666666669</v>
      </c>
      <c r="D47" s="10">
        <v>0.91736111111111107</v>
      </c>
    </row>
    <row r="48" spans="1:4" x14ac:dyDescent="0.45">
      <c r="A48" t="s">
        <v>4</v>
      </c>
      <c r="B48" s="9">
        <v>45718</v>
      </c>
      <c r="C48" s="10">
        <v>0.39513888888888887</v>
      </c>
      <c r="D48" s="10">
        <v>0.90625</v>
      </c>
    </row>
    <row r="49" spans="1:4" x14ac:dyDescent="0.45">
      <c r="A49" t="s">
        <v>3</v>
      </c>
      <c r="B49" s="9">
        <v>45717</v>
      </c>
      <c r="C49" s="10">
        <v>0.40694444444444444</v>
      </c>
      <c r="D49" s="10">
        <v>0.91736111111111107</v>
      </c>
    </row>
    <row r="50" spans="1:4" x14ac:dyDescent="0.45">
      <c r="A50" t="s">
        <v>9</v>
      </c>
      <c r="B50" s="9">
        <v>45706</v>
      </c>
      <c r="C50" s="10">
        <v>0.3972222222222222</v>
      </c>
      <c r="D50" s="10">
        <v>0.92291666666666672</v>
      </c>
    </row>
    <row r="51" spans="1:4" x14ac:dyDescent="0.45">
      <c r="A51" t="s">
        <v>12</v>
      </c>
      <c r="B51" s="9">
        <v>45705</v>
      </c>
      <c r="C51" s="10">
        <v>0.38263888888888886</v>
      </c>
      <c r="D51" s="10">
        <v>0.91388888888888886</v>
      </c>
    </row>
    <row r="52" spans="1:4" x14ac:dyDescent="0.45">
      <c r="A52" t="s">
        <v>8</v>
      </c>
      <c r="B52" s="9">
        <v>45704</v>
      </c>
      <c r="C52" s="10">
        <v>0.38541666666666669</v>
      </c>
      <c r="D52" s="10">
        <v>0.89236111111111116</v>
      </c>
    </row>
    <row r="53" spans="1:4" x14ac:dyDescent="0.45">
      <c r="A53" t="s">
        <v>7</v>
      </c>
      <c r="B53" s="9">
        <v>45703</v>
      </c>
      <c r="C53" s="10">
        <v>0.38333333333333336</v>
      </c>
      <c r="D53" s="10">
        <v>0.89722222222222225</v>
      </c>
    </row>
    <row r="54" spans="1:4" x14ac:dyDescent="0.45">
      <c r="A54" t="s">
        <v>6</v>
      </c>
      <c r="B54" s="9">
        <v>45702</v>
      </c>
      <c r="C54" s="10">
        <v>0.37777777777777777</v>
      </c>
      <c r="D54" s="10">
        <v>0.91180555555555554</v>
      </c>
    </row>
    <row r="55" spans="1:4" x14ac:dyDescent="0.45">
      <c r="A55" t="s">
        <v>5</v>
      </c>
      <c r="B55" s="9">
        <v>45701</v>
      </c>
      <c r="C55" s="10">
        <v>0.38263888888888886</v>
      </c>
      <c r="D55" s="10">
        <v>0.87638888888888888</v>
      </c>
    </row>
    <row r="56" spans="1:4" x14ac:dyDescent="0.45">
      <c r="A56" t="s">
        <v>11</v>
      </c>
      <c r="B56" s="9">
        <v>45700</v>
      </c>
      <c r="C56" s="10">
        <v>0.37638888888888888</v>
      </c>
      <c r="D56" s="10">
        <v>0.91736111111111107</v>
      </c>
    </row>
    <row r="57" spans="1:4" x14ac:dyDescent="0.45">
      <c r="A57" t="s">
        <v>4</v>
      </c>
      <c r="B57" s="9">
        <v>45699</v>
      </c>
      <c r="C57" s="10">
        <v>0.38333333333333336</v>
      </c>
      <c r="D57" s="10">
        <v>0.91736111111111107</v>
      </c>
    </row>
    <row r="58" spans="1:4" x14ac:dyDescent="0.45">
      <c r="A58" t="s">
        <v>3</v>
      </c>
      <c r="B58" s="9">
        <v>45698</v>
      </c>
      <c r="C58" s="10">
        <v>0.3888888888888889</v>
      </c>
      <c r="D58" s="10">
        <v>0.9194444444444444</v>
      </c>
    </row>
    <row r="59" spans="1:4" x14ac:dyDescent="0.45">
      <c r="A59" t="s">
        <v>10</v>
      </c>
      <c r="B59" s="9">
        <v>45697</v>
      </c>
      <c r="C59" s="10">
        <v>0.3840277777777778</v>
      </c>
      <c r="D59" s="10">
        <v>0.92291666666666672</v>
      </c>
    </row>
    <row r="60" spans="1:4" x14ac:dyDescent="0.45">
      <c r="A60" t="s">
        <v>10</v>
      </c>
      <c r="B60" s="9">
        <v>45665</v>
      </c>
      <c r="C60" s="10">
        <v>0.38333333333333336</v>
      </c>
      <c r="D60" s="10">
        <v>0.92500000000000004</v>
      </c>
    </row>
    <row r="61" spans="1:4" x14ac:dyDescent="0.45">
      <c r="A61" t="s">
        <v>9</v>
      </c>
      <c r="B61" s="9">
        <v>45664</v>
      </c>
      <c r="C61" s="10">
        <v>0.3840277777777778</v>
      </c>
      <c r="D61" s="10">
        <v>0.93333333333333335</v>
      </c>
    </row>
    <row r="62" spans="1:4" x14ac:dyDescent="0.45">
      <c r="A62" t="s">
        <v>12</v>
      </c>
      <c r="B62" s="9">
        <v>45663</v>
      </c>
      <c r="C62" s="10">
        <v>0.3888888888888889</v>
      </c>
      <c r="D62" s="10">
        <v>0.9458333333333333</v>
      </c>
    </row>
    <row r="63" spans="1:4" x14ac:dyDescent="0.45">
      <c r="A63" t="s">
        <v>8</v>
      </c>
      <c r="B63" s="9">
        <v>45662</v>
      </c>
      <c r="C63" s="10">
        <v>0.38472222222222224</v>
      </c>
      <c r="D63" s="10">
        <v>0.89375000000000004</v>
      </c>
    </row>
    <row r="64" spans="1:4" x14ac:dyDescent="0.45">
      <c r="A64" t="s">
        <v>7</v>
      </c>
      <c r="B64" s="9">
        <v>45661</v>
      </c>
      <c r="C64" s="10">
        <v>0.38055555555555554</v>
      </c>
      <c r="D64" s="10">
        <v>0.92708333333333337</v>
      </c>
    </row>
    <row r="65" spans="1:4" x14ac:dyDescent="0.45">
      <c r="A65" t="s">
        <v>6</v>
      </c>
      <c r="B65" s="9">
        <v>45660</v>
      </c>
      <c r="C65" s="10">
        <v>0.3347222222222222</v>
      </c>
      <c r="D65" s="10">
        <v>0.92152777777777772</v>
      </c>
    </row>
    <row r="66" spans="1:4" x14ac:dyDescent="0.45">
      <c r="A66" t="s">
        <v>5</v>
      </c>
      <c r="B66" s="9">
        <v>45659</v>
      </c>
      <c r="C66" s="10">
        <v>0.37777777777777777</v>
      </c>
      <c r="D66" s="10">
        <v>0.88124999999999998</v>
      </c>
    </row>
    <row r="67" spans="1:4" x14ac:dyDescent="0.45">
      <c r="A67" t="s">
        <v>11</v>
      </c>
      <c r="B67" s="9">
        <v>45658</v>
      </c>
      <c r="C67" s="10">
        <v>0.375</v>
      </c>
      <c r="D67" s="10">
        <v>0.79166666666666663</v>
      </c>
    </row>
    <row r="68" spans="1:4" x14ac:dyDescent="0.45">
      <c r="A68" t="s">
        <v>4</v>
      </c>
      <c r="B68" s="9">
        <v>45658</v>
      </c>
      <c r="C68" s="10">
        <v>0.375</v>
      </c>
      <c r="D68" s="10">
        <v>0.75</v>
      </c>
    </row>
    <row r="69" spans="1:4" x14ac:dyDescent="0.45">
      <c r="A69" t="s">
        <v>3</v>
      </c>
      <c r="B69" s="9">
        <v>45658</v>
      </c>
      <c r="C69" s="10">
        <v>0.33333333333333331</v>
      </c>
      <c r="D69" s="10">
        <v>0.875</v>
      </c>
    </row>
    <row r="70" spans="1:4" x14ac:dyDescent="0.45">
      <c r="B70" s="9"/>
      <c r="C70" s="10"/>
      <c r="D70" s="10"/>
    </row>
  </sheetData>
  <dataValidations xWindow="667" yWindow="762" count="3">
    <dataValidation type="time" allowBlank="1" showInputMessage="1" showErrorMessage="1" errorTitle="Masukkan Jam Masuk" error="Format/rentang jam tidak Sesuai. Masukkan mulai dari 08:00 sampai 23:00." promptTitle="Masukkan Jam Masuk" prompt="Silahkan masukkan jam masuk dengan format HH:MM" sqref="B9" xr:uid="{3A70E993-01D2-49C7-8076-7BFBAF14D171}">
      <formula1>0.333333333333333</formula1>
      <formula2>0.958333333333333</formula2>
    </dataValidation>
    <dataValidation type="time" allowBlank="1" showInputMessage="1" showErrorMessage="1" errorTitle="Masukkan Jam Keluar" error="Format/rentang jam tidak Sesuai. Masukkan mulai dari 08:00 sampai 23:00." promptTitle="Masukkan Jam Keluar" prompt="Silahkan masukkan jam keluar dengan format HH:MM" sqref="B11" xr:uid="{6ED9BCA4-E9EF-4A68-8955-A681ECAD6106}">
      <formula1>0.333333333333333</formula1>
      <formula2>0.958333333333333</formula2>
    </dataValidation>
    <dataValidation type="date" allowBlank="1" showInputMessage="1" showErrorMessage="1" sqref="B7" xr:uid="{F3A496F4-BCCF-4930-9A7F-CC3361C39DA0}">
      <formula1>45658</formula1>
      <formula2>46022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Add_Employee_Attendance">
                <anchor moveWithCells="1" sizeWithCells="1">
                  <from>
                    <xdr:col>0</xdr:col>
                    <xdr:colOff>809625</xdr:colOff>
                    <xdr:row>12</xdr:row>
                    <xdr:rowOff>109538</xdr:rowOff>
                  </from>
                  <to>
                    <xdr:col>2</xdr:col>
                    <xdr:colOff>366713</xdr:colOff>
                    <xdr:row>14</xdr:row>
                    <xdr:rowOff>147638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xWindow="667" yWindow="762" count="1">
        <x14:dataValidation type="list" allowBlank="1" showInputMessage="1" showErrorMessage="1" errorTitle="Pilih NIP Pegawai" error="Silahkan pilih opsi yang tersedia" promptTitle="Pilih NIP Pegawai" prompt="Silahkan pilih opsi NIP" xr:uid="{7FB5214A-2B42-4AC6-9102-382DC3C08BEC}">
          <x14:formula1>
            <xm:f>Data_Pegawai!$A$2:$A$11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8E0C-7660-49A3-872B-DF8FCB853C20}">
  <dimension ref="A1:F51"/>
  <sheetViews>
    <sheetView workbookViewId="0">
      <selection activeCell="J6" sqref="J6"/>
    </sheetView>
  </sheetViews>
  <sheetFormatPr defaultRowHeight="14.25" x14ac:dyDescent="0.45"/>
  <cols>
    <col min="1" max="1" width="7.33203125" bestFit="1" customWidth="1"/>
    <col min="2" max="2" width="15.265625" bestFit="1" customWidth="1"/>
    <col min="3" max="3" width="12" bestFit="1" customWidth="1"/>
    <col min="4" max="4" width="11.796875" bestFit="1" customWidth="1"/>
    <col min="5" max="5" width="12.6640625" bestFit="1" customWidth="1"/>
    <col min="6" max="6" width="21.9296875" bestFit="1" customWidth="1"/>
  </cols>
  <sheetData>
    <row r="1" spans="1:6" x14ac:dyDescent="0.45">
      <c r="A1" t="s">
        <v>0</v>
      </c>
      <c r="B1" t="s">
        <v>1</v>
      </c>
      <c r="C1" t="s">
        <v>2</v>
      </c>
      <c r="D1" t="s">
        <v>33</v>
      </c>
      <c r="E1" t="s">
        <v>34</v>
      </c>
      <c r="F1" t="s">
        <v>35</v>
      </c>
    </row>
    <row r="2" spans="1:6" x14ac:dyDescent="0.45">
      <c r="A2" t="s">
        <v>10</v>
      </c>
      <c r="B2" s="23">
        <v>45787</v>
      </c>
      <c r="C2" s="24">
        <v>0.37638888888888888</v>
      </c>
      <c r="D2" s="24">
        <v>0.87847222222222221</v>
      </c>
      <c r="E2" s="25">
        <v>0.50208333333333333</v>
      </c>
      <c r="F2">
        <v>12</v>
      </c>
    </row>
    <row r="3" spans="1:6" x14ac:dyDescent="0.45">
      <c r="A3" t="s">
        <v>9</v>
      </c>
      <c r="B3" s="23">
        <v>45786</v>
      </c>
      <c r="C3" s="24">
        <v>0.37638888888888888</v>
      </c>
      <c r="D3" s="24">
        <v>0.92291666666666672</v>
      </c>
      <c r="E3" s="25">
        <v>0.54652777777777772</v>
      </c>
      <c r="F3">
        <v>13</v>
      </c>
    </row>
    <row r="4" spans="1:6" x14ac:dyDescent="0.45">
      <c r="A4" t="s">
        <v>12</v>
      </c>
      <c r="B4" s="23">
        <v>45785</v>
      </c>
      <c r="C4" s="24">
        <v>0.37847222222222221</v>
      </c>
      <c r="D4" s="24">
        <v>0.92361111111111116</v>
      </c>
      <c r="E4" s="25">
        <v>0.54513888888888884</v>
      </c>
      <c r="F4">
        <v>13</v>
      </c>
    </row>
    <row r="5" spans="1:6" x14ac:dyDescent="0.45">
      <c r="A5" t="s">
        <v>8</v>
      </c>
      <c r="B5" s="23">
        <v>45784</v>
      </c>
      <c r="C5" s="24">
        <v>0.37569444444444444</v>
      </c>
      <c r="D5" s="24">
        <v>0.92291666666666672</v>
      </c>
      <c r="E5" s="25">
        <v>0.54722222222222228</v>
      </c>
      <c r="F5">
        <v>13</v>
      </c>
    </row>
    <row r="6" spans="1:6" x14ac:dyDescent="0.45">
      <c r="A6" t="s">
        <v>7</v>
      </c>
      <c r="B6" s="23">
        <v>45783</v>
      </c>
      <c r="C6" s="24">
        <v>0.37916666666666665</v>
      </c>
      <c r="D6" s="24">
        <v>0.87708333333333333</v>
      </c>
      <c r="E6" s="25">
        <v>0.49791666666666667</v>
      </c>
      <c r="F6">
        <v>12</v>
      </c>
    </row>
    <row r="7" spans="1:6" x14ac:dyDescent="0.45">
      <c r="A7" t="s">
        <v>6</v>
      </c>
      <c r="B7" s="23">
        <v>45782</v>
      </c>
      <c r="C7" s="24">
        <v>0.37847222222222221</v>
      </c>
      <c r="D7" s="24">
        <v>0.87847222222222221</v>
      </c>
      <c r="E7" s="25">
        <v>0.5</v>
      </c>
      <c r="F7">
        <v>12</v>
      </c>
    </row>
    <row r="8" spans="1:6" x14ac:dyDescent="0.45">
      <c r="A8" t="s">
        <v>5</v>
      </c>
      <c r="B8" s="23">
        <v>45781</v>
      </c>
      <c r="C8" s="24">
        <v>0.37777777777777777</v>
      </c>
      <c r="D8" s="24">
        <v>0.91874999999999996</v>
      </c>
      <c r="E8" s="25">
        <v>0.54097222222222219</v>
      </c>
      <c r="F8">
        <v>13</v>
      </c>
    </row>
    <row r="9" spans="1:6" x14ac:dyDescent="0.45">
      <c r="A9" t="s">
        <v>11</v>
      </c>
      <c r="B9" s="23">
        <v>45780</v>
      </c>
      <c r="C9" s="24">
        <v>0.38194444444444442</v>
      </c>
      <c r="D9" s="24">
        <v>0.92361111111111116</v>
      </c>
      <c r="E9" s="25">
        <v>0.54166666666666663</v>
      </c>
      <c r="F9">
        <v>13</v>
      </c>
    </row>
    <row r="10" spans="1:6" x14ac:dyDescent="0.45">
      <c r="A10" t="s">
        <v>4</v>
      </c>
      <c r="B10" s="23">
        <v>45779</v>
      </c>
      <c r="C10" s="24">
        <v>0.37777777777777777</v>
      </c>
      <c r="D10" s="24">
        <v>0.92013888888888884</v>
      </c>
      <c r="E10" s="25">
        <v>0.54236111111111107</v>
      </c>
      <c r="F10">
        <v>13</v>
      </c>
    </row>
    <row r="11" spans="1:6" x14ac:dyDescent="0.45">
      <c r="A11" t="s">
        <v>3</v>
      </c>
      <c r="B11" s="23">
        <v>45778</v>
      </c>
      <c r="C11" s="24">
        <v>0.37847222222222221</v>
      </c>
      <c r="D11" s="24">
        <v>0.92013888888888884</v>
      </c>
      <c r="E11" s="25">
        <v>0.54166666666666663</v>
      </c>
      <c r="F11">
        <v>13</v>
      </c>
    </row>
    <row r="12" spans="1:6" x14ac:dyDescent="0.45">
      <c r="A12" t="s">
        <v>10</v>
      </c>
      <c r="B12" s="23">
        <v>45757</v>
      </c>
      <c r="C12" s="24">
        <v>0.38194444444444442</v>
      </c>
      <c r="D12" s="24">
        <v>0.92291666666666672</v>
      </c>
      <c r="E12" s="25">
        <v>0.54097222222222219</v>
      </c>
      <c r="F12">
        <v>13</v>
      </c>
    </row>
    <row r="13" spans="1:6" x14ac:dyDescent="0.45">
      <c r="A13" t="s">
        <v>9</v>
      </c>
      <c r="B13" s="23">
        <v>45756</v>
      </c>
      <c r="C13" s="24">
        <v>0.37777777777777777</v>
      </c>
      <c r="D13" s="24">
        <v>0.92083333333333328</v>
      </c>
      <c r="E13" s="25">
        <v>0.54305555555555551</v>
      </c>
      <c r="F13">
        <v>13</v>
      </c>
    </row>
    <row r="14" spans="1:6" x14ac:dyDescent="0.45">
      <c r="A14" t="s">
        <v>12</v>
      </c>
      <c r="B14" s="23">
        <v>45755</v>
      </c>
      <c r="C14" s="24">
        <v>0.37638888888888888</v>
      </c>
      <c r="D14" s="24">
        <v>0.91805555555555551</v>
      </c>
      <c r="E14" s="25">
        <v>0.54166666666666663</v>
      </c>
      <c r="F14">
        <v>13</v>
      </c>
    </row>
    <row r="15" spans="1:6" x14ac:dyDescent="0.45">
      <c r="A15" t="s">
        <v>8</v>
      </c>
      <c r="B15" s="23">
        <v>45754</v>
      </c>
      <c r="C15" s="24">
        <v>0.37847222222222221</v>
      </c>
      <c r="D15" s="24">
        <v>0.88680555555555551</v>
      </c>
      <c r="E15" s="25">
        <v>0.5083333333333333</v>
      </c>
      <c r="F15">
        <v>12</v>
      </c>
    </row>
    <row r="16" spans="1:6" x14ac:dyDescent="0.45">
      <c r="A16" t="s">
        <v>7</v>
      </c>
      <c r="B16" s="23">
        <v>45753</v>
      </c>
      <c r="C16" s="24">
        <v>0.37638888888888888</v>
      </c>
      <c r="D16" s="24">
        <v>0.91805555555555551</v>
      </c>
      <c r="E16" s="25">
        <v>0.54166666666666663</v>
      </c>
      <c r="F16">
        <v>13</v>
      </c>
    </row>
    <row r="17" spans="1:6" x14ac:dyDescent="0.45">
      <c r="A17" t="s">
        <v>6</v>
      </c>
      <c r="B17" s="23">
        <v>45752</v>
      </c>
      <c r="C17" s="24">
        <v>0.37777777777777777</v>
      </c>
      <c r="D17" s="24">
        <v>0.92013888888888884</v>
      </c>
      <c r="E17" s="25">
        <v>0.54236111111111107</v>
      </c>
      <c r="F17">
        <v>13</v>
      </c>
    </row>
    <row r="18" spans="1:6" x14ac:dyDescent="0.45">
      <c r="A18" t="s">
        <v>5</v>
      </c>
      <c r="B18" s="23">
        <v>45751</v>
      </c>
      <c r="C18" s="24">
        <v>0.37708333333333333</v>
      </c>
      <c r="D18" s="24">
        <v>0.92291666666666672</v>
      </c>
      <c r="E18" s="25">
        <v>0.54583333333333328</v>
      </c>
      <c r="F18">
        <v>13</v>
      </c>
    </row>
    <row r="19" spans="1:6" x14ac:dyDescent="0.45">
      <c r="A19" t="s">
        <v>11</v>
      </c>
      <c r="B19" s="23">
        <v>45750</v>
      </c>
      <c r="C19" s="24">
        <v>0.37847222222222221</v>
      </c>
      <c r="D19" s="24">
        <v>0.9194444444444444</v>
      </c>
      <c r="E19" s="25">
        <v>0.54097222222222219</v>
      </c>
      <c r="F19">
        <v>13</v>
      </c>
    </row>
    <row r="20" spans="1:6" x14ac:dyDescent="0.45">
      <c r="A20" t="s">
        <v>4</v>
      </c>
      <c r="B20" s="23">
        <v>45749</v>
      </c>
      <c r="C20" s="24">
        <v>0.37638888888888888</v>
      </c>
      <c r="D20" s="24">
        <v>0.91805555555555551</v>
      </c>
      <c r="E20" s="25">
        <v>0.54166666666666663</v>
      </c>
      <c r="F20">
        <v>13</v>
      </c>
    </row>
    <row r="21" spans="1:6" x14ac:dyDescent="0.45">
      <c r="A21" t="s">
        <v>3</v>
      </c>
      <c r="B21" s="23">
        <v>45748</v>
      </c>
      <c r="C21" s="24">
        <v>0.37638888888888888</v>
      </c>
      <c r="D21" s="24">
        <v>0.91805555555555551</v>
      </c>
      <c r="E21" s="25">
        <v>0.54166666666666663</v>
      </c>
      <c r="F21">
        <v>13</v>
      </c>
    </row>
    <row r="22" spans="1:6" x14ac:dyDescent="0.45">
      <c r="A22" t="s">
        <v>10</v>
      </c>
      <c r="B22" s="23">
        <v>45726</v>
      </c>
      <c r="C22" s="24">
        <v>0.38124999999999998</v>
      </c>
      <c r="D22" s="24">
        <v>0.91805555555555551</v>
      </c>
      <c r="E22" s="25">
        <v>0.53680555555555554</v>
      </c>
      <c r="F22">
        <v>13</v>
      </c>
    </row>
    <row r="23" spans="1:6" x14ac:dyDescent="0.45">
      <c r="A23" t="s">
        <v>9</v>
      </c>
      <c r="B23" s="23">
        <v>45725</v>
      </c>
      <c r="C23" s="24">
        <v>0.37777777777777777</v>
      </c>
      <c r="D23" s="24">
        <v>0.91874999999999996</v>
      </c>
      <c r="E23" s="25">
        <v>0.54097222222222219</v>
      </c>
      <c r="F23">
        <v>13</v>
      </c>
    </row>
    <row r="24" spans="1:6" x14ac:dyDescent="0.45">
      <c r="A24" t="s">
        <v>12</v>
      </c>
      <c r="B24" s="23">
        <v>45724</v>
      </c>
      <c r="C24" s="24">
        <v>0.38333333333333336</v>
      </c>
      <c r="D24" s="24">
        <v>0.87986111111111109</v>
      </c>
      <c r="E24" s="25">
        <v>0.49652777777777779</v>
      </c>
      <c r="F24">
        <v>12</v>
      </c>
    </row>
    <row r="25" spans="1:6" x14ac:dyDescent="0.45">
      <c r="A25" t="s">
        <v>8</v>
      </c>
      <c r="B25" s="23">
        <v>45723</v>
      </c>
      <c r="C25" s="24">
        <v>0.37777777777777777</v>
      </c>
      <c r="D25" s="24">
        <v>0.87638888888888888</v>
      </c>
      <c r="E25" s="25">
        <v>0.49861111111111112</v>
      </c>
      <c r="F25">
        <v>12</v>
      </c>
    </row>
    <row r="26" spans="1:6" x14ac:dyDescent="0.45">
      <c r="A26" t="s">
        <v>7</v>
      </c>
      <c r="B26" s="23">
        <v>45722</v>
      </c>
      <c r="C26" s="24">
        <v>0.38958333333333334</v>
      </c>
      <c r="D26" s="24">
        <v>0.88055555555555554</v>
      </c>
      <c r="E26" s="25">
        <v>0.4909722222222222</v>
      </c>
      <c r="F26">
        <v>12</v>
      </c>
    </row>
    <row r="27" spans="1:6" x14ac:dyDescent="0.45">
      <c r="A27" t="s">
        <v>6</v>
      </c>
      <c r="B27" s="23">
        <v>45721</v>
      </c>
      <c r="C27" s="24">
        <v>0.39027777777777778</v>
      </c>
      <c r="D27" s="24">
        <v>0.87569444444444444</v>
      </c>
      <c r="E27" s="25">
        <v>0.48541666666666666</v>
      </c>
      <c r="F27">
        <v>12</v>
      </c>
    </row>
    <row r="28" spans="1:6" x14ac:dyDescent="0.45">
      <c r="A28" t="s">
        <v>5</v>
      </c>
      <c r="B28" s="23">
        <v>45720</v>
      </c>
      <c r="C28" s="24">
        <v>0.38333333333333336</v>
      </c>
      <c r="D28" s="24">
        <v>0.91805555555555551</v>
      </c>
      <c r="E28" s="25">
        <v>0.53472222222222221</v>
      </c>
      <c r="F28">
        <v>13</v>
      </c>
    </row>
    <row r="29" spans="1:6" x14ac:dyDescent="0.45">
      <c r="A29" t="s">
        <v>11</v>
      </c>
      <c r="B29" s="23">
        <v>45719</v>
      </c>
      <c r="C29" s="24">
        <v>0.38541666666666669</v>
      </c>
      <c r="D29" s="24">
        <v>0.91736111111111107</v>
      </c>
      <c r="E29" s="25">
        <v>0.53194444444444444</v>
      </c>
      <c r="F29">
        <v>13</v>
      </c>
    </row>
    <row r="30" spans="1:6" x14ac:dyDescent="0.45">
      <c r="A30" t="s">
        <v>4</v>
      </c>
      <c r="B30" s="23">
        <v>45718</v>
      </c>
      <c r="C30" s="24">
        <v>0.39513888888888887</v>
      </c>
      <c r="D30" s="24">
        <v>0.90625</v>
      </c>
      <c r="E30" s="25">
        <v>0.51111111111111107</v>
      </c>
      <c r="F30">
        <v>12</v>
      </c>
    </row>
    <row r="31" spans="1:6" x14ac:dyDescent="0.45">
      <c r="A31" t="s">
        <v>3</v>
      </c>
      <c r="B31" s="23">
        <v>45717</v>
      </c>
      <c r="C31" s="24">
        <v>0.40694444444444444</v>
      </c>
      <c r="D31" s="24">
        <v>0.91736111111111107</v>
      </c>
      <c r="E31" s="25">
        <v>0.51041666666666663</v>
      </c>
      <c r="F31">
        <v>12</v>
      </c>
    </row>
    <row r="32" spans="1:6" x14ac:dyDescent="0.45">
      <c r="A32" t="s">
        <v>9</v>
      </c>
      <c r="B32" s="23">
        <v>45706</v>
      </c>
      <c r="C32" s="24">
        <v>0.3972222222222222</v>
      </c>
      <c r="D32" s="24">
        <v>0.92291666666666672</v>
      </c>
      <c r="E32" s="25">
        <v>0.52569444444444446</v>
      </c>
      <c r="F32">
        <v>13</v>
      </c>
    </row>
    <row r="33" spans="1:6" x14ac:dyDescent="0.45">
      <c r="A33" t="s">
        <v>12</v>
      </c>
      <c r="B33" s="23">
        <v>45705</v>
      </c>
      <c r="C33" s="24">
        <v>0.38263888888888886</v>
      </c>
      <c r="D33" s="24">
        <v>0.91388888888888886</v>
      </c>
      <c r="E33" s="25">
        <v>0.53125</v>
      </c>
      <c r="F33">
        <v>13</v>
      </c>
    </row>
    <row r="34" spans="1:6" x14ac:dyDescent="0.45">
      <c r="A34" t="s">
        <v>8</v>
      </c>
      <c r="B34" s="23">
        <v>45704</v>
      </c>
      <c r="C34" s="24">
        <v>0.38541666666666669</v>
      </c>
      <c r="D34" s="24">
        <v>0.89236111111111116</v>
      </c>
      <c r="E34" s="25">
        <v>0.50694444444444442</v>
      </c>
      <c r="F34">
        <v>12</v>
      </c>
    </row>
    <row r="35" spans="1:6" x14ac:dyDescent="0.45">
      <c r="A35" t="s">
        <v>7</v>
      </c>
      <c r="B35" s="23">
        <v>45703</v>
      </c>
      <c r="C35" s="24">
        <v>0.38333333333333336</v>
      </c>
      <c r="D35" s="24">
        <v>0.89722222222222225</v>
      </c>
      <c r="E35" s="25">
        <v>0.51388888888888884</v>
      </c>
      <c r="F35">
        <v>12</v>
      </c>
    </row>
    <row r="36" spans="1:6" x14ac:dyDescent="0.45">
      <c r="A36" t="s">
        <v>6</v>
      </c>
      <c r="B36" s="23">
        <v>45702</v>
      </c>
      <c r="C36" s="24">
        <v>0.37777777777777777</v>
      </c>
      <c r="D36" s="24">
        <v>0.91180555555555554</v>
      </c>
      <c r="E36" s="25">
        <v>0.53402777777777777</v>
      </c>
      <c r="F36">
        <v>13</v>
      </c>
    </row>
    <row r="37" spans="1:6" x14ac:dyDescent="0.45">
      <c r="A37" t="s">
        <v>5</v>
      </c>
      <c r="B37" s="23">
        <v>45701</v>
      </c>
      <c r="C37" s="24">
        <v>0.38263888888888886</v>
      </c>
      <c r="D37" s="24">
        <v>0.87638888888888888</v>
      </c>
      <c r="E37" s="25">
        <v>0.49375000000000002</v>
      </c>
      <c r="F37">
        <v>12</v>
      </c>
    </row>
    <row r="38" spans="1:6" x14ac:dyDescent="0.45">
      <c r="A38" t="s">
        <v>11</v>
      </c>
      <c r="B38" s="23">
        <v>45700</v>
      </c>
      <c r="C38" s="24">
        <v>0.37638888888888888</v>
      </c>
      <c r="D38" s="24">
        <v>0.91736111111111107</v>
      </c>
      <c r="E38" s="25">
        <v>0.54097222222222219</v>
      </c>
      <c r="F38">
        <v>13</v>
      </c>
    </row>
    <row r="39" spans="1:6" x14ac:dyDescent="0.45">
      <c r="A39" t="s">
        <v>4</v>
      </c>
      <c r="B39" s="23">
        <v>45699</v>
      </c>
      <c r="C39" s="24">
        <v>0.38333333333333336</v>
      </c>
      <c r="D39" s="24">
        <v>0.91736111111111107</v>
      </c>
      <c r="E39" s="25">
        <v>0.53402777777777777</v>
      </c>
      <c r="F39">
        <v>13</v>
      </c>
    </row>
    <row r="40" spans="1:6" x14ac:dyDescent="0.45">
      <c r="A40" t="s">
        <v>3</v>
      </c>
      <c r="B40" s="23">
        <v>45698</v>
      </c>
      <c r="C40" s="24">
        <v>0.3888888888888889</v>
      </c>
      <c r="D40" s="24">
        <v>0.9194444444444444</v>
      </c>
      <c r="E40" s="25">
        <v>0.53055555555555556</v>
      </c>
      <c r="F40">
        <v>13</v>
      </c>
    </row>
    <row r="41" spans="1:6" x14ac:dyDescent="0.45">
      <c r="A41" t="s">
        <v>10</v>
      </c>
      <c r="B41" s="23">
        <v>45697</v>
      </c>
      <c r="C41" s="24">
        <v>0.3840277777777778</v>
      </c>
      <c r="D41" s="24">
        <v>0.92291666666666672</v>
      </c>
      <c r="E41" s="25">
        <v>0.53888888888888886</v>
      </c>
      <c r="F41">
        <v>13</v>
      </c>
    </row>
    <row r="42" spans="1:6" x14ac:dyDescent="0.45">
      <c r="A42" t="s">
        <v>10</v>
      </c>
      <c r="B42" s="23">
        <v>45665</v>
      </c>
      <c r="C42" s="24">
        <v>0.38333333333333336</v>
      </c>
      <c r="D42" s="24">
        <v>0.92500000000000004</v>
      </c>
      <c r="E42" s="25">
        <v>0.54166666666666663</v>
      </c>
      <c r="F42">
        <v>13</v>
      </c>
    </row>
    <row r="43" spans="1:6" x14ac:dyDescent="0.45">
      <c r="A43" t="s">
        <v>9</v>
      </c>
      <c r="B43" s="23">
        <v>45664</v>
      </c>
      <c r="C43" s="24">
        <v>0.3840277777777778</v>
      </c>
      <c r="D43" s="24">
        <v>0.93333333333333335</v>
      </c>
      <c r="E43" s="25">
        <v>0.5493055555555556</v>
      </c>
      <c r="F43">
        <v>13</v>
      </c>
    </row>
    <row r="44" spans="1:6" x14ac:dyDescent="0.45">
      <c r="A44" t="s">
        <v>12</v>
      </c>
      <c r="B44" s="23">
        <v>45663</v>
      </c>
      <c r="C44" s="24">
        <v>0.3888888888888889</v>
      </c>
      <c r="D44" s="24">
        <v>0.9458333333333333</v>
      </c>
      <c r="E44" s="25">
        <v>0.55694444444444446</v>
      </c>
      <c r="F44">
        <v>13</v>
      </c>
    </row>
    <row r="45" spans="1:6" x14ac:dyDescent="0.45">
      <c r="A45" t="s">
        <v>8</v>
      </c>
      <c r="B45" s="23">
        <v>45662</v>
      </c>
      <c r="C45" s="24">
        <v>0.38472222222222224</v>
      </c>
      <c r="D45" s="24">
        <v>0.89375000000000004</v>
      </c>
      <c r="E45" s="25">
        <v>0.50902777777777775</v>
      </c>
      <c r="F45">
        <v>12</v>
      </c>
    </row>
    <row r="46" spans="1:6" x14ac:dyDescent="0.45">
      <c r="A46" t="s">
        <v>7</v>
      </c>
      <c r="B46" s="23">
        <v>45661</v>
      </c>
      <c r="C46" s="24">
        <v>0.38055555555555554</v>
      </c>
      <c r="D46" s="24">
        <v>0.92708333333333337</v>
      </c>
      <c r="E46" s="25">
        <v>0.54652777777777772</v>
      </c>
      <c r="F46">
        <v>13</v>
      </c>
    </row>
    <row r="47" spans="1:6" x14ac:dyDescent="0.45">
      <c r="A47" t="s">
        <v>6</v>
      </c>
      <c r="B47" s="23">
        <v>45660</v>
      </c>
      <c r="C47" s="24">
        <v>0.3347222222222222</v>
      </c>
      <c r="D47" s="24">
        <v>0.92152777777777772</v>
      </c>
      <c r="E47" s="25">
        <v>0.58680555555555558</v>
      </c>
      <c r="F47">
        <v>14</v>
      </c>
    </row>
    <row r="48" spans="1:6" x14ac:dyDescent="0.45">
      <c r="A48" t="s">
        <v>5</v>
      </c>
      <c r="B48" s="23">
        <v>45659</v>
      </c>
      <c r="C48" s="24">
        <v>0.37777777777777777</v>
      </c>
      <c r="D48" s="24">
        <v>0.88124999999999998</v>
      </c>
      <c r="E48" s="25">
        <v>0.50347222222222221</v>
      </c>
      <c r="F48">
        <v>12</v>
      </c>
    </row>
    <row r="49" spans="1:6" x14ac:dyDescent="0.45">
      <c r="A49" t="s">
        <v>11</v>
      </c>
      <c r="B49" s="23">
        <v>45658</v>
      </c>
      <c r="C49" s="24">
        <v>0.375</v>
      </c>
      <c r="D49" s="24">
        <v>0.79166666666666663</v>
      </c>
      <c r="E49" s="25">
        <v>0.41666666666666669</v>
      </c>
      <c r="F49">
        <v>10</v>
      </c>
    </row>
    <row r="50" spans="1:6" x14ac:dyDescent="0.45">
      <c r="A50" t="s">
        <v>4</v>
      </c>
      <c r="B50" s="23">
        <v>45658</v>
      </c>
      <c r="C50" s="24">
        <v>0.375</v>
      </c>
      <c r="D50" s="24">
        <v>0.75</v>
      </c>
      <c r="E50" s="25">
        <v>0.375</v>
      </c>
      <c r="F50">
        <v>9</v>
      </c>
    </row>
    <row r="51" spans="1:6" x14ac:dyDescent="0.45">
      <c r="A51" t="s">
        <v>3</v>
      </c>
      <c r="B51" s="23">
        <v>45658</v>
      </c>
      <c r="C51" s="24">
        <v>0.33333333333333331</v>
      </c>
      <c r="D51" s="24">
        <v>0.875</v>
      </c>
      <c r="E51" s="25">
        <v>0.54166666666666663</v>
      </c>
      <c r="F51">
        <v>13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31838-6449-40CA-BB32-4DBF9743F27D}">
  <dimension ref="A1:D1"/>
  <sheetViews>
    <sheetView workbookViewId="0">
      <selection sqref="A1:D1"/>
    </sheetView>
  </sheetViews>
  <sheetFormatPr defaultRowHeight="14.25" x14ac:dyDescent="0.45"/>
  <cols>
    <col min="2" max="2" width="14.46484375" customWidth="1"/>
  </cols>
  <sheetData>
    <row r="1" spans="1:4" x14ac:dyDescent="0.45">
      <c r="A1" t="s">
        <v>5</v>
      </c>
      <c r="B1" s="9">
        <v>45809</v>
      </c>
      <c r="C1" s="10">
        <v>0.33333333333333331</v>
      </c>
      <c r="D1" s="10">
        <v>0.54166666666666663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4C8FB5-3C68-4BC3-AF7E-E335F8594B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Data_Pegawai</vt:lpstr>
      <vt:lpstr>Form_Entry</vt:lpstr>
      <vt:lpstr>After_Query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Saroha Sumarna</dc:creator>
  <cp:lastModifiedBy>Patricia Saroha Sumarna</cp:lastModifiedBy>
  <dcterms:created xsi:type="dcterms:W3CDTF">2025-08-06T23:54:59Z</dcterms:created>
  <dcterms:modified xsi:type="dcterms:W3CDTF">2025-11-22T14:43:31Z</dcterms:modified>
</cp:coreProperties>
</file>